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luz.sharepoint.com/sites/FachbereichInformatik/Freigegebene Dokumente/Unterlagenarchiv Module/"/>
    </mc:Choice>
  </mc:AlternateContent>
  <xr:revisionPtr revIDLastSave="894" documentId="13_ncr:1_{1A1D79E5-5B47-4F10-A61A-E3C18E856346}" xr6:coauthVersionLast="47" xr6:coauthVersionMax="47" xr10:uidLastSave="{A9B5BE72-EDFF-4BB3-AB77-DBD2A5B4C27D}"/>
  <bookViews>
    <workbookView xWindow="-28920" yWindow="1185" windowWidth="29040" windowHeight="15720" firstSheet="3" activeTab="1" xr2:uid="{00000000-000D-0000-FFFF-FFFF00000000}"/>
  </bookViews>
  <sheets>
    <sheet name="Grobplan" sheetId="1" r:id="rId1"/>
    <sheet name="1.Tag" sheetId="2" r:id="rId2"/>
    <sheet name="2.Tag" sheetId="3" r:id="rId3"/>
    <sheet name="3.Tag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4" l="1"/>
  <c r="B10" i="4"/>
  <c r="B1" i="4"/>
  <c r="A11" i="3"/>
  <c r="B10" i="3"/>
  <c r="B1" i="3"/>
  <c r="B1" i="2"/>
  <c r="B10" i="2"/>
  <c r="A11" i="2"/>
  <c r="A12" i="2" s="1"/>
  <c r="A13" i="2" s="1"/>
  <c r="A14" i="2" s="1"/>
  <c r="A15" i="2" s="1"/>
  <c r="A16" i="2" s="1"/>
  <c r="A17" i="2" s="1"/>
  <c r="B5" i="2"/>
  <c r="B17" i="2" l="1"/>
  <c r="B13" i="2"/>
  <c r="A12" i="3"/>
  <c r="A12" i="4"/>
  <c r="B11" i="4"/>
  <c r="B11" i="3"/>
  <c r="B11" i="2"/>
  <c r="B4" i="1"/>
  <c r="B4" i="4"/>
  <c r="B4" i="2"/>
  <c r="B5" i="3"/>
  <c r="B4" i="3"/>
  <c r="B5" i="4"/>
  <c r="A13" i="3" l="1"/>
  <c r="A14" i="3" s="1"/>
  <c r="A15" i="3" s="1"/>
  <c r="A16" i="3" s="1"/>
  <c r="B12" i="3"/>
  <c r="A13" i="4"/>
  <c r="B12" i="4"/>
  <c r="B13" i="3"/>
  <c r="B14" i="2"/>
  <c r="B15" i="2"/>
  <c r="B12" i="2"/>
  <c r="B16" i="2"/>
  <c r="A14" i="4" l="1"/>
  <c r="B13" i="4"/>
  <c r="B14" i="3"/>
  <c r="A15" i="4" l="1"/>
  <c r="B15" i="4" s="1"/>
  <c r="B14" i="4"/>
  <c r="B16" i="3"/>
  <c r="B15" i="3"/>
</calcChain>
</file>

<file path=xl/sharedStrings.xml><?xml version="1.0" encoding="utf-8"?>
<sst xmlns="http://schemas.openxmlformats.org/spreadsheetml/2006/main" count="99" uniqueCount="52">
  <si>
    <t>M114</t>
  </si>
  <si>
    <t>Codierung, Kompression und Verschl.</t>
  </si>
  <si>
    <t>Organisatorisch</t>
  </si>
  <si>
    <t>Kurstage</t>
  </si>
  <si>
    <t>Daten</t>
  </si>
  <si>
    <t>Montag, Dienstag, Freitag</t>
  </si>
  <si>
    <t>Inhalt</t>
  </si>
  <si>
    <t>Modul gem.
ICT</t>
  </si>
  <si>
    <t>https://www.modulbaukasten.ch/module/114/4/de-DE?title=Codierungs-,-Kompressions--und-Verschl%C3%BCsselungsverfahren-einsetzen</t>
  </si>
  <si>
    <t>Kurskontrolle</t>
  </si>
  <si>
    <t>- Theoretische Prüfung
- Projektarbeit</t>
  </si>
  <si>
    <t>Tag</t>
  </si>
  <si>
    <t>Lektion</t>
  </si>
  <si>
    <t>Kommentar</t>
  </si>
  <si>
    <t>Logische Gatter</t>
  </si>
  <si>
    <t>Zahlensysteme</t>
  </si>
  <si>
    <t>Zahlencodierung</t>
  </si>
  <si>
    <t>Lernziele</t>
  </si>
  <si>
    <t>Lektion 1</t>
  </si>
  <si>
    <t xml:space="preserve">- TN beschreibt AND, OR, XOR und NOT-Gatter. </t>
  </si>
  <si>
    <t>Lektion 2</t>
  </si>
  <si>
    <t xml:space="preserve">- TN wendet Gatter an, um logische Netzwerke gemäss Aufgabenstellung zu realisieren. </t>
  </si>
  <si>
    <t>Zeit total</t>
  </si>
  <si>
    <t>Zeit Lektion</t>
  </si>
  <si>
    <t>Dauer</t>
  </si>
  <si>
    <t>Methode</t>
  </si>
  <si>
    <t>Mittel</t>
  </si>
  <si>
    <t>Begrüssung
- Überblick
- Verweis auf Lehrmittel</t>
  </si>
  <si>
    <t>Lehrervortrag</t>
  </si>
  <si>
    <t>https://infmod.gitlab.io/m114/</t>
  </si>
  <si>
    <t>Leitfragen: 
- Welche logischen Zustände kennt der Computer? 
- Wie werden logische Zustände physikalisch dargestellt? 
- Wie kann mit logischen Zuständen eine Information dargestellt werden? (Bsp.: Es ist Tag, es ist Nacht). 
Anschliessende Klärung im Plenum</t>
  </si>
  <si>
    <t>Gruppenarbeit</t>
  </si>
  <si>
    <t>Demo zur Datenmenge im Terminal: 
ls -lah bei verschiedenen Files - evtl. mit wc für Textfiles</t>
  </si>
  <si>
    <t>Datenmengen inkl. Video</t>
  </si>
  <si>
    <t>Lehrerpräsentation</t>
  </si>
  <si>
    <t>Lösen der Aufgaben 1 + anschliessendes Besprechen im Plenum</t>
  </si>
  <si>
    <t>Einzelarbeit</t>
  </si>
  <si>
    <t>Einführung Gatter
- Verarbeiten Informationen
- Gatter Typen</t>
  </si>
  <si>
    <t>Erklärung Verknüpfung im Code und deren Priorisierung: Klammer -&gt; Not -&gt; And -&gt; Or</t>
  </si>
  <si>
    <t>Quiz Gatter</t>
  </si>
  <si>
    <t>Plenum</t>
  </si>
  <si>
    <t>Erklärung Simulationstool</t>
  </si>
  <si>
    <t>Lehrerdemonstration</t>
  </si>
  <si>
    <t>https://simulator.io/</t>
  </si>
  <si>
    <t>Lösen der Aufgaben 2</t>
  </si>
  <si>
    <t xml:space="preserve">Rest als HA lösen. 
Aufgabe 2.4 optional. </t>
  </si>
  <si>
    <t xml:space="preserve">- TN beschreibt Einsatzgebiet von verschiedenen Zahlensystemen. </t>
  </si>
  <si>
    <t xml:space="preserve">- TN rechnet Zahlen in andere Zahlensysteme um. </t>
  </si>
  <si>
    <t>Begrüssung
- Besprechen der Aufgaben</t>
  </si>
  <si>
    <t>Demo</t>
  </si>
  <si>
    <t xml:space="preserve">- Wählen eine geeignete Bitanzahl zum Abbilden von Informationen. </t>
  </si>
  <si>
    <t xml:space="preserve">- Rechnen Anzahl Kombinationen, Maximum- und Minimumwert.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</si>
</sst>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/mm&quot; Uhr&quot;;@"/>
    <numFmt numFmtId="165" formatCode="h/mm&quot; h&quot;;@"/>
  </numFmts>
  <fonts count="6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20"/>
      <color theme="1"/>
      <name val="Arial"/>
      <family val="2"/>
    </font>
    <font>
      <u/>
      <sz val="11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3" fillId="0" borderId="0" xfId="0" applyFont="1"/>
    <xf numFmtId="164" fontId="0" fillId="0" borderId="0" xfId="0" applyNumberFormat="1"/>
    <xf numFmtId="165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164" fontId="0" fillId="2" borderId="0" xfId="0" applyNumberFormat="1" applyFill="1" applyAlignment="1">
      <alignment vertical="top"/>
    </xf>
    <xf numFmtId="0" fontId="3" fillId="2" borderId="0" xfId="0" applyFont="1" applyFill="1"/>
    <xf numFmtId="0" fontId="3" fillId="3" borderId="0" xfId="0" applyFont="1" applyFill="1"/>
    <xf numFmtId="0" fontId="4" fillId="0" borderId="0" xfId="0" applyFont="1"/>
    <xf numFmtId="49" fontId="0" fillId="0" borderId="0" xfId="0" applyNumberFormat="1"/>
    <xf numFmtId="0" fontId="0" fillId="0" borderId="11" xfId="0" applyBorder="1"/>
    <xf numFmtId="0" fontId="0" fillId="0" borderId="13" xfId="0" applyBorder="1"/>
    <xf numFmtId="0" fontId="0" fillId="0" borderId="11" xfId="0" applyBorder="1" applyAlignment="1">
      <alignment vertical="top"/>
    </xf>
    <xf numFmtId="0" fontId="0" fillId="0" borderId="12" xfId="0" applyBorder="1"/>
    <xf numFmtId="0" fontId="1" fillId="0" borderId="15" xfId="0" applyFont="1" applyBorder="1"/>
    <xf numFmtId="49" fontId="0" fillId="0" borderId="0" xfId="0" quotePrefix="1" applyNumberFormat="1" applyAlignment="1">
      <alignment horizontal="left" vertical="top" wrapText="1"/>
    </xf>
    <xf numFmtId="49" fontId="0" fillId="0" borderId="12" xfId="0" quotePrefix="1" applyNumberFormat="1" applyBorder="1" applyAlignment="1">
      <alignment horizontal="left" vertical="top" wrapText="1"/>
    </xf>
    <xf numFmtId="0" fontId="0" fillId="0" borderId="9" xfId="0" applyBorder="1"/>
    <xf numFmtId="0" fontId="2" fillId="0" borderId="7" xfId="0" applyFont="1" applyBorder="1"/>
    <xf numFmtId="0" fontId="0" fillId="0" borderId="7" xfId="0" applyBorder="1"/>
    <xf numFmtId="0" fontId="4" fillId="4" borderId="4" xfId="0" applyFont="1" applyFill="1" applyBorder="1" applyProtection="1">
      <protection locked="0"/>
    </xf>
    <xf numFmtId="0" fontId="0" fillId="4" borderId="2" xfId="0" applyFill="1" applyBorder="1" applyAlignment="1" applyProtection="1">
      <alignment horizontal="left"/>
      <protection locked="0"/>
    </xf>
    <xf numFmtId="0" fontId="0" fillId="4" borderId="3" xfId="0" applyFill="1" applyBorder="1" applyProtection="1">
      <protection locked="0"/>
    </xf>
    <xf numFmtId="0" fontId="0" fillId="4" borderId="1" xfId="0" applyFill="1" applyBorder="1" applyAlignment="1" applyProtection="1">
      <alignment horizontal="left"/>
      <protection locked="0"/>
    </xf>
    <xf numFmtId="0" fontId="0" fillId="4" borderId="1" xfId="0" applyFill="1" applyBorder="1" applyProtection="1">
      <protection locked="0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 wrapText="1"/>
    </xf>
    <xf numFmtId="0" fontId="0" fillId="4" borderId="2" xfId="0" applyFill="1" applyBorder="1" applyProtection="1">
      <protection locked="0"/>
    </xf>
    <xf numFmtId="49" fontId="5" fillId="0" borderId="0" xfId="1" applyNumberFormat="1" applyAlignment="1">
      <alignment vertical="top" wrapText="1"/>
    </xf>
    <xf numFmtId="49" fontId="0" fillId="0" borderId="0" xfId="0" quotePrefix="1" applyNumberFormat="1" applyAlignment="1">
      <alignment vertical="top" wrapText="1"/>
    </xf>
    <xf numFmtId="49" fontId="5" fillId="0" borderId="0" xfId="2" applyNumberFormat="1" applyAlignment="1">
      <alignment vertical="top" wrapText="1"/>
    </xf>
    <xf numFmtId="49" fontId="0" fillId="0" borderId="0" xfId="0" applyNumberFormat="1" applyAlignment="1">
      <alignment horizontal="left" vertical="center"/>
    </xf>
    <xf numFmtId="0" fontId="4" fillId="4" borderId="5" xfId="0" applyFont="1" applyFill="1" applyBorder="1" applyAlignment="1" applyProtection="1">
      <alignment horizontal="left"/>
      <protection locked="0"/>
    </xf>
    <xf numFmtId="0" fontId="4" fillId="4" borderId="6" xfId="0" applyFont="1" applyFill="1" applyBorder="1" applyAlignment="1" applyProtection="1">
      <alignment horizontal="left"/>
      <protection locked="0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164" fontId="0" fillId="4" borderId="7" xfId="0" applyNumberFormat="1" applyFill="1" applyBorder="1" applyAlignment="1" applyProtection="1">
      <alignment horizontal="left"/>
      <protection locked="0"/>
    </xf>
    <xf numFmtId="164" fontId="0" fillId="4" borderId="14" xfId="0" applyNumberFormat="1" applyFill="1" applyBorder="1" applyAlignment="1" applyProtection="1">
      <alignment horizontal="left"/>
      <protection locked="0"/>
    </xf>
    <xf numFmtId="49" fontId="5" fillId="4" borderId="5" xfId="1" quotePrefix="1" applyNumberFormat="1" applyFill="1" applyBorder="1" applyAlignment="1" applyProtection="1">
      <alignment horizontal="left" vertical="top" wrapText="1"/>
      <protection locked="0"/>
    </xf>
    <xf numFmtId="49" fontId="5" fillId="4" borderId="6" xfId="1" quotePrefix="1" applyNumberFormat="1" applyFill="1" applyBorder="1" applyAlignment="1" applyProtection="1">
      <alignment horizontal="left" vertical="top" wrapText="1"/>
      <protection locked="0"/>
    </xf>
    <xf numFmtId="49" fontId="0" fillId="4" borderId="5" xfId="0" quotePrefix="1" applyNumberFormat="1" applyFill="1" applyBorder="1" applyAlignment="1" applyProtection="1">
      <alignment horizontal="left" vertical="top" wrapText="1"/>
      <protection locked="0"/>
    </xf>
    <xf numFmtId="49" fontId="0" fillId="4" borderId="6" xfId="0" quotePrefix="1" applyNumberFormat="1" applyFill="1" applyBorder="1" applyAlignment="1" applyProtection="1">
      <alignment horizontal="left" vertical="top" wrapText="1"/>
      <protection locked="0"/>
    </xf>
    <xf numFmtId="49" fontId="0" fillId="0" borderId="0" xfId="0" quotePrefix="1" applyNumberFormat="1" applyAlignment="1">
      <alignment horizontal="left" vertical="center"/>
    </xf>
  </cellXfs>
  <cellStyles count="3">
    <cellStyle name="Hyperlink" xfId="1" xr:uid="{00000000-0005-0000-0000-000000000000}"/>
    <cellStyle name="Link" xfId="2" builtinId="8"/>
    <cellStyle name="Standard" xfId="0" builtinId="0"/>
  </cellStyles>
  <dxfs count="27"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165" formatCode="h/mm&quot; h&quot;;@"/>
      <alignment horizontal="general" vertical="top" textRotation="0" indent="0" justifyLastLine="0" shrinkToFit="0" readingOrder="0"/>
    </dxf>
    <dxf>
      <numFmt numFmtId="164" formatCode="h/mm&quot; Uhr&quot;;@"/>
      <fill>
        <patternFill patternType="solid">
          <fgColor indexed="64"/>
          <bgColor theme="8" tint="0.59999389629810485"/>
        </patternFill>
      </fill>
      <alignment horizontal="general" vertical="top" textRotation="0" wrapText="0" indent="0" justifyLastLine="0" shrinkToFit="0" readingOrder="0"/>
    </dxf>
    <dxf>
      <numFmt numFmtId="164" formatCode="h/mm&quot; Uhr&quot;;@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fill>
        <patternFill>
          <bgColor theme="7" tint="0.59996337778862885"/>
        </patternFill>
      </fill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165" formatCode="h/mm&quot; h&quot;;@"/>
      <alignment horizontal="general" vertical="top" textRotation="0" indent="0" justifyLastLine="0" shrinkToFit="0" readingOrder="0"/>
    </dxf>
    <dxf>
      <numFmt numFmtId="164" formatCode="h/mm&quot; Uhr&quot;;@"/>
      <fill>
        <patternFill patternType="solid">
          <fgColor indexed="64"/>
          <bgColor theme="8" tint="0.59999389629810485"/>
        </patternFill>
      </fill>
      <alignment horizontal="general" vertical="top" textRotation="0" wrapText="0" indent="0" justifyLastLine="0" shrinkToFit="0" readingOrder="0"/>
    </dxf>
    <dxf>
      <numFmt numFmtId="164" formatCode="h/mm&quot; Uhr&quot;;@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fill>
        <patternFill>
          <bgColor theme="7" tint="0.59996337778862885"/>
        </patternFill>
      </fill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165" formatCode="h/mm&quot; h&quot;;@"/>
      <alignment horizontal="general" vertical="top" textRotation="0" indent="0" justifyLastLine="0" shrinkToFit="0" readingOrder="0"/>
    </dxf>
    <dxf>
      <numFmt numFmtId="164" formatCode="h/mm&quot; Uhr&quot;;@"/>
      <fill>
        <patternFill patternType="solid">
          <fgColor indexed="64"/>
          <bgColor theme="8" tint="0.59999389629810485"/>
        </patternFill>
      </fill>
      <alignment horizontal="general" vertical="top" textRotation="0" wrapText="0" indent="0" justifyLastLine="0" shrinkToFit="0" readingOrder="0"/>
    </dxf>
    <dxf>
      <numFmt numFmtId="164" formatCode="h/mm&quot; Uhr&quot;;@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" displayName="Table1" ref="A9:G17" totalsRowShown="0" dataDxfId="25">
  <autoFilter ref="A9:G17" xr:uid="{00000000-0009-0000-0100-000002000000}"/>
  <tableColumns count="7">
    <tableColumn id="1" xr3:uid="{00000000-0010-0000-0000-000001000000}" name="Zeit total" dataDxfId="24">
      <calculatedColumnFormula>IF((ROW())=ROW(Table1[#Headers])+1,#REF!,IF((A9+C9&gt;=#REF!)*(A9&lt;#REF!),A9+C9+#REF!,A9+C9))</calculatedColumnFormula>
    </tableColumn>
    <tableColumn id="7" xr3:uid="{00000000-0010-0000-0000-000007000000}" name="Zeit Lektion" dataDxfId="23">
      <calculatedColumnFormula>MOD(Table1[[#This Row],[Zeit total]],0.03125)</calculatedColumnFormula>
    </tableColumn>
    <tableColumn id="2" xr3:uid="{00000000-0010-0000-0000-000002000000}" name="Dauer" dataDxfId="22"/>
    <tableColumn id="3" xr3:uid="{00000000-0010-0000-0000-000003000000}" name="Inhalt" dataDxfId="21"/>
    <tableColumn id="4" xr3:uid="{00000000-0010-0000-0000-000004000000}" name="Methode" dataDxfId="20"/>
    <tableColumn id="5" xr3:uid="{00000000-0010-0000-0000-000005000000}" name="Mittel" dataDxfId="19"/>
    <tableColumn id="6" xr3:uid="{00000000-0010-0000-0000-000006000000}" name="Kommentar" dataDxfId="18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DF8AC9-455B-4670-8207-4CCCD28ADE16}" name="Table12" displayName="Table12" ref="A9:G16" totalsRowShown="0" dataDxfId="16">
  <autoFilter ref="A9:G16" xr:uid="{00000000-0009-0000-0100-000002000000}"/>
  <tableColumns count="7">
    <tableColumn id="1" xr3:uid="{EE460E11-7BDF-427D-AF16-9536B623332E}" name="Zeit total" dataDxfId="15">
      <calculatedColumnFormula>IF((ROW())=ROW(Table12[#Headers])+1,#REF!,IF((A9+C9&gt;=#REF!)*(A9&lt;#REF!),A9+C9+#REF!,A9+C9))</calculatedColumnFormula>
    </tableColumn>
    <tableColumn id="7" xr3:uid="{D12DEF9F-5F68-4B5A-AFC1-CD612C40777E}" name="Zeit Lektion" dataDxfId="14">
      <calculatedColumnFormula>MOD(Table12[[#This Row],[Zeit total]],0.03125)</calculatedColumnFormula>
    </tableColumn>
    <tableColumn id="2" xr3:uid="{11F76611-1BBD-47D0-B0EA-2696190E8158}" name="Dauer" dataDxfId="13"/>
    <tableColumn id="3" xr3:uid="{04C60B15-BB58-4B61-A441-6BEAA2D0160A}" name="Inhalt" dataDxfId="12"/>
    <tableColumn id="4" xr3:uid="{E8D52046-6F64-4553-92C5-1AB4DC983EF8}" name="Methode" dataDxfId="11"/>
    <tableColumn id="5" xr3:uid="{61583903-26E3-4545-8AB9-682017799563}" name="Mittel" dataDxfId="10"/>
    <tableColumn id="6" xr3:uid="{33B9DDF4-B569-4EED-843A-25BC8E78B0CA}" name="Kommentar" dataDxfId="9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4A6CF7-335F-4F67-BD04-52ADB82BD7C9}" name="Table124" displayName="Table124" ref="A9:G15" totalsRowShown="0" dataDxfId="7">
  <autoFilter ref="A9:G15" xr:uid="{00000000-0009-0000-0100-000002000000}"/>
  <tableColumns count="7">
    <tableColumn id="1" xr3:uid="{B360ADA7-6FB5-4368-A3AB-12E335C78D6E}" name="Zeit total" dataDxfId="6">
      <calculatedColumnFormula>IF((ROW())=ROW(Table124[#Headers])+1,#REF!,IF((A9+C9&gt;=#REF!)*(A9&lt;#REF!),A9+C9+#REF!,A9+C9))</calculatedColumnFormula>
    </tableColumn>
    <tableColumn id="7" xr3:uid="{95D35080-04A0-4145-8B7A-1687F9AB73FD}" name="Zeit Lektion" dataDxfId="5">
      <calculatedColumnFormula>MOD(Table124[[#This Row],[Zeit total]],0.03125)</calculatedColumnFormula>
    </tableColumn>
    <tableColumn id="2" xr3:uid="{41C9A72D-337F-44AF-925C-7B62193C3A36}" name="Dauer" dataDxfId="4"/>
    <tableColumn id="3" xr3:uid="{C27E7328-3573-4762-BC96-2412480ED582}" name="Inhalt" dataDxfId="3"/>
    <tableColumn id="4" xr3:uid="{A291951E-2EC9-4368-82B5-700B8E3FF605}" name="Methode" dataDxfId="2"/>
    <tableColumn id="5" xr3:uid="{81188966-1F2B-4682-A6FA-8EEADADC3D66}" name="Mittel" dataDxfId="1"/>
    <tableColumn id="6" xr3:uid="{80620ACE-3BEA-4048-A2B3-2478B7674C09}" name="Kommentar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dulbaukasten.ch/module/114/4/de-DE?title=Codierungs-,-Kompressions--und-Verschl%C3%BCsselungsverfahren-einsetze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simulator.io/" TargetMode="External"/><Relationship Id="rId1" Type="http://schemas.openxmlformats.org/officeDocument/2006/relationships/hyperlink" Target="https://infmod.gitlab.io/m114/" TargetMode="Externa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D18"/>
  <sheetViews>
    <sheetView zoomScale="115" zoomScaleNormal="115" zoomScalePageLayoutView="130" workbookViewId="0">
      <selection activeCell="C26" sqref="C26"/>
    </sheetView>
  </sheetViews>
  <sheetFormatPr defaultColWidth="9" defaultRowHeight="14.25"/>
  <cols>
    <col min="1" max="1" width="12.625" customWidth="1"/>
    <col min="2" max="2" width="9.875" bestFit="1" customWidth="1"/>
    <col min="3" max="3" width="57.875" customWidth="1"/>
  </cols>
  <sheetData>
    <row r="1" spans="1:4" ht="26.25">
      <c r="A1" s="21" t="s">
        <v>0</v>
      </c>
      <c r="B1" s="33" t="s">
        <v>1</v>
      </c>
      <c r="C1" s="34"/>
    </row>
    <row r="2" spans="1:4" ht="5.85" customHeight="1"/>
    <row r="3" spans="1:4" ht="18">
      <c r="A3" s="19" t="s">
        <v>2</v>
      </c>
      <c r="B3" s="20"/>
      <c r="C3" s="20"/>
    </row>
    <row r="4" spans="1:4">
      <c r="A4" s="18" t="s">
        <v>3</v>
      </c>
      <c r="B4" s="37">
        <f ca="1">_xlfn.SHEETS()-1</f>
        <v>3</v>
      </c>
      <c r="C4" s="38"/>
    </row>
    <row r="5" spans="1:4">
      <c r="A5" s="12" t="s">
        <v>4</v>
      </c>
      <c r="B5" s="39" t="s">
        <v>5</v>
      </c>
      <c r="C5" s="40"/>
    </row>
    <row r="6" spans="1:4" ht="5.25" customHeight="1"/>
    <row r="7" spans="1:4" ht="18">
      <c r="A7" s="19" t="s">
        <v>6</v>
      </c>
      <c r="B7" s="20"/>
      <c r="C7" s="20"/>
    </row>
    <row r="8" spans="1:4" ht="28.5">
      <c r="A8" s="27" t="s">
        <v>7</v>
      </c>
      <c r="B8" s="41" t="s">
        <v>8</v>
      </c>
      <c r="C8" s="42"/>
    </row>
    <row r="9" spans="1:4" ht="14.1" customHeight="1">
      <c r="A9" s="13"/>
      <c r="B9" s="16"/>
      <c r="C9" s="17"/>
    </row>
    <row r="10" spans="1:4" ht="31.5" customHeight="1">
      <c r="A10" s="26" t="s">
        <v>9</v>
      </c>
      <c r="B10" s="43" t="s">
        <v>10</v>
      </c>
      <c r="C10" s="44"/>
    </row>
    <row r="11" spans="1:4">
      <c r="A11" s="11"/>
      <c r="C11" s="14"/>
    </row>
    <row r="12" spans="1:4" ht="15.75" thickBot="1">
      <c r="A12" s="15" t="s">
        <v>11</v>
      </c>
      <c r="B12" s="15" t="s">
        <v>12</v>
      </c>
      <c r="C12" s="15" t="s">
        <v>6</v>
      </c>
      <c r="D12" t="s">
        <v>13</v>
      </c>
    </row>
    <row r="13" spans="1:4">
      <c r="A13" s="36">
        <v>1</v>
      </c>
      <c r="B13" s="22">
        <v>1</v>
      </c>
      <c r="C13" s="23" t="s">
        <v>14</v>
      </c>
    </row>
    <row r="14" spans="1:4">
      <c r="A14" s="35"/>
      <c r="B14" s="24">
        <v>2</v>
      </c>
      <c r="C14" s="28" t="s">
        <v>14</v>
      </c>
    </row>
    <row r="15" spans="1:4">
      <c r="A15" s="35">
        <v>2</v>
      </c>
      <c r="B15" s="24">
        <v>1</v>
      </c>
      <c r="C15" s="28" t="s">
        <v>15</v>
      </c>
    </row>
    <row r="16" spans="1:4">
      <c r="A16" s="35"/>
      <c r="B16" s="24">
        <v>2</v>
      </c>
      <c r="C16" s="25" t="s">
        <v>15</v>
      </c>
    </row>
    <row r="17" spans="1:3">
      <c r="A17" s="35">
        <v>3</v>
      </c>
      <c r="B17" s="24">
        <v>1</v>
      </c>
      <c r="C17" s="25" t="s">
        <v>16</v>
      </c>
    </row>
    <row r="18" spans="1:3">
      <c r="A18" s="35"/>
      <c r="B18" s="24">
        <v>2</v>
      </c>
      <c r="C18" s="25" t="s">
        <v>16</v>
      </c>
    </row>
  </sheetData>
  <mergeCells count="8">
    <mergeCell ref="B4:C4"/>
    <mergeCell ref="B5:C5"/>
    <mergeCell ref="B8:C8"/>
    <mergeCell ref="B10:C10"/>
    <mergeCell ref="B1:C1"/>
    <mergeCell ref="A13:A14"/>
    <mergeCell ref="A15:A16"/>
    <mergeCell ref="A17:A18"/>
  </mergeCells>
  <hyperlinks>
    <hyperlink ref="B8:C8" r:id="rId1" display="https://www.modulbaukasten.ch/module/114/4/de-DE?title=Codierungs-,-Kompressions--und-Verschl%C3%BCsselungsverfahren-einsetzen" xr:uid="{00000000-0004-0000-0000-000000000000}"/>
  </hyperlinks>
  <pageMargins left="0.7" right="0.7" top="1.3645833333333333" bottom="0.60416666666666663" header="0.3" footer="0.3"/>
  <pageSetup paperSize="9" orientation="portrait" r:id="rId2"/>
  <headerFooter>
    <oddHeader>&amp;L&amp;14M114</oddHeader>
    <oddFooter>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G17"/>
  <sheetViews>
    <sheetView tabSelected="1" zoomScale="130" zoomScaleNormal="130" workbookViewId="0">
      <selection activeCell="D11" sqref="D11"/>
    </sheetView>
  </sheetViews>
  <sheetFormatPr defaultColWidth="9" defaultRowHeight="14.25"/>
  <cols>
    <col min="1" max="1" width="12.875" bestFit="1" customWidth="1"/>
    <col min="2" max="2" width="12.875" customWidth="1"/>
    <col min="3" max="3" width="10" customWidth="1"/>
    <col min="4" max="4" width="55.375" customWidth="1"/>
    <col min="5" max="5" width="19.75" customWidth="1"/>
    <col min="6" max="6" width="34.25" bestFit="1" customWidth="1"/>
    <col min="7" max="7" width="71.125" customWidth="1"/>
  </cols>
  <sheetData>
    <row r="1" spans="1:7" ht="26.25">
      <c r="A1" s="9" t="s">
        <v>11</v>
      </c>
      <c r="B1" s="9">
        <f ca="1">_xlfn.SHEET()-1</f>
        <v>1</v>
      </c>
    </row>
    <row r="3" spans="1:7" ht="18">
      <c r="A3" s="1" t="s">
        <v>6</v>
      </c>
      <c r="B3" s="2"/>
      <c r="E3" s="1" t="s">
        <v>17</v>
      </c>
      <c r="F3" s="10"/>
    </row>
    <row r="4" spans="1:7" ht="18">
      <c r="A4" s="7" t="s">
        <v>18</v>
      </c>
      <c r="B4" s="2" t="str">
        <f ca="1">INDIRECT("Grobplan!C"&amp;2*$B$1+11)</f>
        <v>Logische Gatter</v>
      </c>
      <c r="E4" s="32" t="s">
        <v>19</v>
      </c>
      <c r="F4" s="32"/>
      <c r="G4" s="32"/>
    </row>
    <row r="5" spans="1:7" ht="18">
      <c r="A5" s="8" t="s">
        <v>20</v>
      </c>
      <c r="B5" s="2" t="str">
        <f ca="1">INDIRECT("Grobplan!C"&amp;2*$B$1+12)</f>
        <v>Logische Gatter</v>
      </c>
      <c r="E5" s="45" t="s">
        <v>21</v>
      </c>
      <c r="F5" s="45"/>
      <c r="G5" s="45"/>
    </row>
    <row r="6" spans="1:7" ht="18" customHeight="1"/>
    <row r="7" spans="1:7">
      <c r="C7" s="3"/>
    </row>
    <row r="8" spans="1:7" ht="25.5" customHeight="1"/>
    <row r="9" spans="1:7">
      <c r="A9" t="s">
        <v>22</v>
      </c>
      <c r="B9" t="s">
        <v>23</v>
      </c>
      <c r="C9" t="s">
        <v>24</v>
      </c>
      <c r="D9" t="s">
        <v>6</v>
      </c>
      <c r="E9" t="s">
        <v>25</v>
      </c>
      <c r="F9" t="s">
        <v>26</v>
      </c>
      <c r="G9" t="s">
        <v>13</v>
      </c>
    </row>
    <row r="10" spans="1:7" ht="43.5">
      <c r="A10" s="6">
        <v>0</v>
      </c>
      <c r="B10" s="6">
        <f>MOD(Table1[[#This Row],[Zeit total]],0.03125)</f>
        <v>0</v>
      </c>
      <c r="C10" s="4">
        <v>6.9444444444444441E-3</v>
      </c>
      <c r="D10" s="5" t="s">
        <v>27</v>
      </c>
      <c r="E10" s="5" t="s">
        <v>28</v>
      </c>
      <c r="F10" s="29" t="s">
        <v>29</v>
      </c>
      <c r="G10" s="5"/>
    </row>
    <row r="11" spans="1:7" ht="99.75">
      <c r="A11" s="6">
        <f>A10+C10</f>
        <v>6.9444444444444441E-3</v>
      </c>
      <c r="B11" s="6">
        <f>MOD(Table1[[#This Row],[Zeit total]],0.03125)</f>
        <v>6.9444444444444441E-3</v>
      </c>
      <c r="C11" s="4">
        <v>6.9444444444444441E-3</v>
      </c>
      <c r="D11" s="5" t="s">
        <v>30</v>
      </c>
      <c r="E11" s="5" t="s">
        <v>31</v>
      </c>
      <c r="F11" s="29"/>
      <c r="G11" s="5" t="s">
        <v>32</v>
      </c>
    </row>
    <row r="12" spans="1:7">
      <c r="A12" s="6">
        <f t="shared" ref="A12:A17" si="0">A11+C11</f>
        <v>1.3888888888888888E-2</v>
      </c>
      <c r="B12" s="6">
        <f>MOD(Table1[[#This Row],[Zeit total]],0.03125)</f>
        <v>1.3888888888888888E-2</v>
      </c>
      <c r="C12" s="4">
        <v>6.9444444444444441E-3</v>
      </c>
      <c r="D12" s="5" t="s">
        <v>33</v>
      </c>
      <c r="E12" s="5" t="s">
        <v>34</v>
      </c>
      <c r="F12" s="29"/>
      <c r="G12" s="5"/>
    </row>
    <row r="13" spans="1:7">
      <c r="A13" s="6">
        <f t="shared" si="0"/>
        <v>2.0833333333333332E-2</v>
      </c>
      <c r="B13" s="6">
        <f>MOD(Table1[[#This Row],[Zeit total]],0.03125)</f>
        <v>2.0833333333333332E-2</v>
      </c>
      <c r="C13" s="4">
        <v>3.472222222222222E-3</v>
      </c>
      <c r="D13" s="5" t="s">
        <v>35</v>
      </c>
      <c r="E13" s="5" t="s">
        <v>36</v>
      </c>
      <c r="F13" s="29"/>
      <c r="G13" s="5"/>
    </row>
    <row r="14" spans="1:7" ht="43.5">
      <c r="A14" s="6">
        <f t="shared" si="0"/>
        <v>2.4305555555555552E-2</v>
      </c>
      <c r="B14" s="6">
        <f>MOD(Table1[[#This Row],[Zeit total]],0.03125)</f>
        <v>2.4305555555555552E-2</v>
      </c>
      <c r="C14" s="4">
        <v>1.0416666666666666E-2</v>
      </c>
      <c r="D14" s="5" t="s">
        <v>37</v>
      </c>
      <c r="E14" s="5" t="s">
        <v>34</v>
      </c>
      <c r="F14" s="29"/>
      <c r="G14" s="30" t="s">
        <v>38</v>
      </c>
    </row>
    <row r="15" spans="1:7">
      <c r="A15" s="6">
        <f t="shared" si="0"/>
        <v>3.4722222222222217E-2</v>
      </c>
      <c r="B15" s="6">
        <f>MOD(Table1[[#This Row],[Zeit total]],0.03125)</f>
        <v>3.4722222222222168E-3</v>
      </c>
      <c r="C15" s="4">
        <v>6.9444444444444441E-3</v>
      </c>
      <c r="D15" s="5" t="s">
        <v>39</v>
      </c>
      <c r="E15" s="5" t="s">
        <v>40</v>
      </c>
      <c r="F15" s="29"/>
      <c r="G15" s="5"/>
    </row>
    <row r="16" spans="1:7">
      <c r="A16" s="6">
        <f t="shared" si="0"/>
        <v>4.1666666666666657E-2</v>
      </c>
      <c r="B16" s="6">
        <f>MOD(Table1[[#This Row],[Zeit total]],0.03125)</f>
        <v>1.0416666666666657E-2</v>
      </c>
      <c r="C16" s="4">
        <v>6.9444444444444441E-3</v>
      </c>
      <c r="D16" s="5" t="s">
        <v>41</v>
      </c>
      <c r="E16" s="5" t="s">
        <v>42</v>
      </c>
      <c r="F16" s="31" t="s">
        <v>43</v>
      </c>
      <c r="G16" s="5"/>
    </row>
    <row r="17" spans="1:7" ht="28.5">
      <c r="A17" s="6">
        <f t="shared" si="0"/>
        <v>4.8611111111111105E-2</v>
      </c>
      <c r="B17" s="6">
        <f>MOD(Table1[[#This Row],[Zeit total]],0.03125)</f>
        <v>1.7361111111111105E-2</v>
      </c>
      <c r="C17" s="4">
        <v>1.3888888888888888E-2</v>
      </c>
      <c r="D17" s="5" t="s">
        <v>44</v>
      </c>
      <c r="E17" s="5" t="s">
        <v>36</v>
      </c>
      <c r="F17" s="29"/>
      <c r="G17" s="5" t="s">
        <v>45</v>
      </c>
    </row>
  </sheetData>
  <mergeCells count="2">
    <mergeCell ref="E4:G4"/>
    <mergeCell ref="E5:G5"/>
  </mergeCells>
  <conditionalFormatting sqref="A10:B17">
    <cfRule type="expression" dxfId="26" priority="5">
      <formula>MOD($A10:$A$16,0.0625)&gt;=0.03125</formula>
    </cfRule>
  </conditionalFormatting>
  <hyperlinks>
    <hyperlink ref="F10" r:id="rId1" xr:uid="{00000000-0004-0000-0100-000000000000}"/>
    <hyperlink ref="F16" r:id="rId2" xr:uid="{3C30FF9A-BBFA-4F2E-90CC-FAAD791ECDDC}"/>
  </hyperlinks>
  <pageMargins left="0.7" right="0.7" top="0.75" bottom="0.75" header="0.3" footer="0.3"/>
  <pageSetup paperSize="9" orientation="portrait"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CEEB-5FDA-43BB-9E29-E5B14EB47EFC}">
  <dimension ref="A1:G16"/>
  <sheetViews>
    <sheetView zoomScale="115" zoomScaleNormal="115" workbookViewId="0">
      <selection activeCell="D17" sqref="D17"/>
    </sheetView>
  </sheetViews>
  <sheetFormatPr defaultColWidth="9" defaultRowHeight="14.25"/>
  <cols>
    <col min="1" max="1" width="12.875" bestFit="1" customWidth="1"/>
    <col min="2" max="2" width="12.875" customWidth="1"/>
    <col min="3" max="3" width="10" customWidth="1"/>
    <col min="4" max="4" width="55.375" customWidth="1"/>
    <col min="5" max="5" width="19.75" customWidth="1"/>
    <col min="6" max="6" width="34.25" bestFit="1" customWidth="1"/>
    <col min="7" max="7" width="71.125" customWidth="1"/>
  </cols>
  <sheetData>
    <row r="1" spans="1:7" ht="26.25">
      <c r="A1" s="9" t="s">
        <v>11</v>
      </c>
      <c r="B1" s="9">
        <f ca="1">_xlfn.SHEET()-1</f>
        <v>2</v>
      </c>
    </row>
    <row r="3" spans="1:7" ht="18">
      <c r="A3" s="1" t="s">
        <v>6</v>
      </c>
      <c r="B3" s="2"/>
      <c r="E3" s="1" t="s">
        <v>17</v>
      </c>
      <c r="F3" s="10"/>
    </row>
    <row r="4" spans="1:7" ht="18">
      <c r="A4" s="7" t="s">
        <v>18</v>
      </c>
      <c r="B4" s="2" t="str">
        <f ca="1">INDIRECT("Grobplan!C"&amp;2*$B$1+11)</f>
        <v>Zahlensysteme</v>
      </c>
      <c r="E4" s="32" t="s">
        <v>46</v>
      </c>
      <c r="F4" s="32"/>
      <c r="G4" s="32"/>
    </row>
    <row r="5" spans="1:7" ht="18">
      <c r="A5" s="8" t="s">
        <v>20</v>
      </c>
      <c r="B5" s="2" t="str">
        <f ca="1">INDIRECT("Grobplan!C"&amp;2*$B$1+12)</f>
        <v>Zahlensysteme</v>
      </c>
      <c r="E5" s="45" t="s">
        <v>47</v>
      </c>
      <c r="F5" s="45"/>
      <c r="G5" s="45"/>
    </row>
    <row r="6" spans="1:7" ht="18" customHeight="1"/>
    <row r="7" spans="1:7">
      <c r="C7" s="3"/>
    </row>
    <row r="8" spans="1:7" ht="25.5" customHeight="1"/>
    <row r="9" spans="1:7">
      <c r="A9" t="s">
        <v>22</v>
      </c>
      <c r="B9" t="s">
        <v>23</v>
      </c>
      <c r="C9" t="s">
        <v>24</v>
      </c>
      <c r="D9" t="s">
        <v>6</v>
      </c>
      <c r="E9" t="s">
        <v>25</v>
      </c>
      <c r="F9" t="s">
        <v>26</v>
      </c>
      <c r="G9" t="s">
        <v>13</v>
      </c>
    </row>
    <row r="10" spans="1:7" ht="28.5">
      <c r="A10" s="6">
        <v>0</v>
      </c>
      <c r="B10" s="6">
        <f>MOD(Table12[[#This Row],[Zeit total]],0.03125)</f>
        <v>0</v>
      </c>
      <c r="C10" s="4">
        <v>1.0416666666666666E-2</v>
      </c>
      <c r="D10" s="5" t="s">
        <v>48</v>
      </c>
      <c r="E10" s="5" t="s">
        <v>28</v>
      </c>
      <c r="F10" s="29"/>
      <c r="G10" s="5"/>
    </row>
    <row r="11" spans="1:7">
      <c r="A11" s="6">
        <f>A10+C10</f>
        <v>1.0416666666666666E-2</v>
      </c>
      <c r="B11" s="6">
        <f>MOD(Table12[[#This Row],[Zeit total]],0.03125)</f>
        <v>1.0416666666666666E-2</v>
      </c>
      <c r="C11" s="4">
        <v>6.9444444444444441E-3</v>
      </c>
      <c r="D11" s="5" t="s">
        <v>49</v>
      </c>
      <c r="E11" s="5"/>
      <c r="F11" s="29"/>
      <c r="G11" s="5"/>
    </row>
    <row r="12" spans="1:7">
      <c r="A12" s="6">
        <f t="shared" ref="A12:A16" si="0">A11+C11</f>
        <v>1.7361111111111112E-2</v>
      </c>
      <c r="B12" s="6">
        <f>MOD(Table12[[#This Row],[Zeit total]],0.03125)</f>
        <v>1.7361111111111112E-2</v>
      </c>
      <c r="C12" s="4">
        <v>3.472222222222222E-3</v>
      </c>
      <c r="D12" s="5" t="s">
        <v>49</v>
      </c>
      <c r="E12" s="5"/>
      <c r="F12" s="29"/>
      <c r="G12" s="5"/>
    </row>
    <row r="13" spans="1:7">
      <c r="A13" s="6">
        <f t="shared" si="0"/>
        <v>2.0833333333333336E-2</v>
      </c>
      <c r="B13" s="6">
        <f>MOD(Table12[[#This Row],[Zeit total]],0.03125)</f>
        <v>2.0833333333333336E-2</v>
      </c>
      <c r="C13" s="4">
        <v>6.9444444444444441E-3</v>
      </c>
      <c r="D13" s="5" t="s">
        <v>49</v>
      </c>
      <c r="E13" s="5"/>
      <c r="F13" s="29"/>
      <c r="G13" s="5"/>
    </row>
    <row r="14" spans="1:7">
      <c r="A14" s="6">
        <f t="shared" si="0"/>
        <v>2.777777777777778E-2</v>
      </c>
      <c r="B14" s="6">
        <f>MOD(Table12[[#This Row],[Zeit total]],0.03125)</f>
        <v>2.777777777777778E-2</v>
      </c>
      <c r="C14" s="4">
        <v>1.0416666666666666E-2</v>
      </c>
      <c r="D14" s="5" t="s">
        <v>49</v>
      </c>
      <c r="E14" s="5"/>
      <c r="F14" s="29"/>
      <c r="G14" s="5"/>
    </row>
    <row r="15" spans="1:7">
      <c r="A15" s="6">
        <f t="shared" si="0"/>
        <v>3.8194444444444448E-2</v>
      </c>
      <c r="B15" s="6">
        <f>MOD(Table12[[#This Row],[Zeit total]],0.03125)</f>
        <v>6.9444444444444475E-3</v>
      </c>
      <c r="C15" s="4">
        <v>1.7361111111111112E-2</v>
      </c>
      <c r="D15" s="5" t="s">
        <v>49</v>
      </c>
      <c r="E15" s="5"/>
      <c r="F15" s="29"/>
      <c r="G15" s="5"/>
    </row>
    <row r="16" spans="1:7">
      <c r="A16" s="6">
        <f t="shared" si="0"/>
        <v>5.5555555555555559E-2</v>
      </c>
      <c r="B16" s="6">
        <f>MOD(Table12[[#This Row],[Zeit total]],0.03125)</f>
        <v>2.4305555555555559E-2</v>
      </c>
      <c r="C16" s="4">
        <v>6.9444444444444441E-3</v>
      </c>
      <c r="D16" s="5" t="s">
        <v>49</v>
      </c>
      <c r="E16" s="5"/>
      <c r="F16" s="29"/>
      <c r="G16" s="5"/>
    </row>
  </sheetData>
  <mergeCells count="2">
    <mergeCell ref="E4:G4"/>
    <mergeCell ref="E5:G5"/>
  </mergeCells>
  <conditionalFormatting sqref="A10:B16">
    <cfRule type="expression" dxfId="17" priority="1">
      <formula>MOD($A10:$A$16,0.0625)&gt;=0.03125</formula>
    </cfRule>
  </conditionalFormatting>
  <pageMargins left="0.7" right="0.7" top="0.75" bottom="0.75" header="0.3" footer="0.3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9E1E0-958D-41A5-A5CB-DF0E647C6506}">
  <dimension ref="A1:G15"/>
  <sheetViews>
    <sheetView zoomScale="115" zoomScaleNormal="115" workbookViewId="0">
      <selection activeCell="D16" sqref="D16"/>
    </sheetView>
  </sheetViews>
  <sheetFormatPr defaultColWidth="9" defaultRowHeight="14.25"/>
  <cols>
    <col min="1" max="1" width="12.875" bestFit="1" customWidth="1"/>
    <col min="2" max="2" width="12.875" customWidth="1"/>
    <col min="3" max="3" width="10" customWidth="1"/>
    <col min="4" max="4" width="55.375" customWidth="1"/>
    <col min="5" max="5" width="19.75" customWidth="1"/>
    <col min="6" max="6" width="34.25" bestFit="1" customWidth="1"/>
    <col min="7" max="7" width="71.125" customWidth="1"/>
  </cols>
  <sheetData>
    <row r="1" spans="1:7" ht="26.25">
      <c r="A1" s="9" t="s">
        <v>11</v>
      </c>
      <c r="B1" s="9">
        <f ca="1">_xlfn.SHEET()-1</f>
        <v>3</v>
      </c>
    </row>
    <row r="3" spans="1:7" ht="18">
      <c r="A3" s="1" t="s">
        <v>6</v>
      </c>
      <c r="B3" s="2"/>
      <c r="E3" s="1" t="s">
        <v>17</v>
      </c>
      <c r="F3" s="10"/>
    </row>
    <row r="4" spans="1:7" ht="18">
      <c r="A4" s="7" t="s">
        <v>18</v>
      </c>
      <c r="B4" s="2" t="str">
        <f ca="1">INDIRECT("Grobplan!C"&amp;2*$B$1+11)</f>
        <v>Zahlencodierung</v>
      </c>
      <c r="E4" s="45" t="s">
        <v>50</v>
      </c>
      <c r="F4" s="32"/>
      <c r="G4" s="32"/>
    </row>
    <row r="5" spans="1:7" ht="18">
      <c r="A5" s="8" t="s">
        <v>20</v>
      </c>
      <c r="B5" s="2" t="str">
        <f ca="1">INDIRECT("Grobplan!C"&amp;2*$B$1+12)</f>
        <v>Zahlencodierung</v>
      </c>
      <c r="E5" s="45" t="s">
        <v>51</v>
      </c>
      <c r="F5" s="45"/>
      <c r="G5" s="45"/>
    </row>
    <row r="6" spans="1:7" ht="18" customHeight="1"/>
    <row r="7" spans="1:7">
      <c r="C7" s="3"/>
    </row>
    <row r="8" spans="1:7" ht="25.5" customHeight="1"/>
    <row r="9" spans="1:7">
      <c r="A9" t="s">
        <v>22</v>
      </c>
      <c r="B9" t="s">
        <v>23</v>
      </c>
      <c r="C9" t="s">
        <v>24</v>
      </c>
      <c r="D9" t="s">
        <v>6</v>
      </c>
      <c r="E9" t="s">
        <v>25</v>
      </c>
      <c r="F9" t="s">
        <v>26</v>
      </c>
      <c r="G9" t="s">
        <v>13</v>
      </c>
    </row>
    <row r="10" spans="1:7" ht="28.5">
      <c r="A10" s="6">
        <v>0</v>
      </c>
      <c r="B10" s="6">
        <f>MOD(Table124[[#This Row],[Zeit total]],0.03125)</f>
        <v>0</v>
      </c>
      <c r="C10" s="4">
        <v>1.0416666666666666E-2</v>
      </c>
      <c r="D10" s="5" t="s">
        <v>48</v>
      </c>
      <c r="E10" s="5" t="s">
        <v>28</v>
      </c>
      <c r="F10" s="29"/>
      <c r="G10" s="5"/>
    </row>
    <row r="11" spans="1:7">
      <c r="A11" s="6">
        <f>A10+C10</f>
        <v>1.0416666666666666E-2</v>
      </c>
      <c r="B11" s="6">
        <f>MOD(Table124[[#This Row],[Zeit total]],0.03125)</f>
        <v>1.0416666666666666E-2</v>
      </c>
      <c r="C11" s="4">
        <v>6.9444444444444441E-3</v>
      </c>
      <c r="D11" s="5" t="s">
        <v>49</v>
      </c>
      <c r="E11" s="5"/>
      <c r="F11" s="29"/>
      <c r="G11" s="5"/>
    </row>
    <row r="12" spans="1:7">
      <c r="A12" s="6">
        <f t="shared" ref="A12:A15" si="0">A11+C11</f>
        <v>1.7361111111111112E-2</v>
      </c>
      <c r="B12" s="6">
        <f>MOD(Table124[[#This Row],[Zeit total]],0.03125)</f>
        <v>1.7361111111111112E-2</v>
      </c>
      <c r="C12" s="4">
        <v>1.3888888888888888E-2</v>
      </c>
      <c r="D12" s="5" t="s">
        <v>49</v>
      </c>
      <c r="E12" s="5"/>
      <c r="F12" s="29"/>
      <c r="G12" s="5"/>
    </row>
    <row r="13" spans="1:7">
      <c r="A13" s="6">
        <f t="shared" si="0"/>
        <v>3.125E-2</v>
      </c>
      <c r="B13" s="6">
        <f>MOD(Table124[[#This Row],[Zeit total]],0.03125)</f>
        <v>0</v>
      </c>
      <c r="C13" s="4">
        <v>1.3888888888888888E-2</v>
      </c>
      <c r="D13" s="5" t="s">
        <v>49</v>
      </c>
      <c r="E13" s="5"/>
      <c r="F13" s="29"/>
      <c r="G13" s="5"/>
    </row>
    <row r="14" spans="1:7">
      <c r="A14" s="6">
        <f t="shared" si="0"/>
        <v>4.5138888888888888E-2</v>
      </c>
      <c r="B14" s="6">
        <f>MOD(Table124[[#This Row],[Zeit total]],0.03125)</f>
        <v>1.3888888888888888E-2</v>
      </c>
      <c r="C14" s="4">
        <v>6.9444444444444441E-3</v>
      </c>
      <c r="D14" s="5" t="s">
        <v>49</v>
      </c>
      <c r="E14" s="5"/>
      <c r="F14" s="29"/>
      <c r="G14" s="5"/>
    </row>
    <row r="15" spans="1:7">
      <c r="A15" s="6">
        <f t="shared" si="0"/>
        <v>5.2083333333333329E-2</v>
      </c>
      <c r="B15" s="6">
        <f>MOD(Table124[[#This Row],[Zeit total]],0.03125)</f>
        <v>2.0833333333333329E-2</v>
      </c>
      <c r="C15" s="4">
        <v>1.0416666666666666E-2</v>
      </c>
      <c r="D15" s="5" t="s">
        <v>49</v>
      </c>
      <c r="E15" s="5"/>
      <c r="F15" s="29"/>
      <c r="G15" s="5"/>
    </row>
  </sheetData>
  <mergeCells count="2">
    <mergeCell ref="E4:G4"/>
    <mergeCell ref="E5:G5"/>
  </mergeCells>
  <conditionalFormatting sqref="A10:B15">
    <cfRule type="expression" dxfId="8" priority="1">
      <formula>MOD($A10:$A$15,0.0625)&gt;=0.03125</formula>
    </cfRule>
  </conditionalFormatting>
  <pageMargins left="0.7" right="0.7" top="0.75" bottom="0.75" header="0.3" footer="0.3"/>
  <pageSetup paperSize="9"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2de01-3c60-4501-b46d-b2adce299403" xsi:nil="true"/>
    <lcf76f155ced4ddcb4097134ff3c332f xmlns="98cc15a3-3e94-4076-998c-63c885c407b0">
      <Terms xmlns="http://schemas.microsoft.com/office/infopath/2007/PartnerControls"/>
    </lcf76f155ced4ddcb4097134ff3c332f>
    <Datum xmlns="98cc15a3-3e94-4076-998c-63c885c407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27A1D7F5CD4AB4F876BA9BE0EFD774C" ma:contentTypeVersion="20" ma:contentTypeDescription="Ein neues Dokument erstellen." ma:contentTypeScope="" ma:versionID="e17695d9dbc10b9f9978e7fd39c3449c">
  <xsd:schema xmlns:xsd="http://www.w3.org/2001/XMLSchema" xmlns:xs="http://www.w3.org/2001/XMLSchema" xmlns:p="http://schemas.microsoft.com/office/2006/metadata/properties" xmlns:ns2="98cc15a3-3e94-4076-998c-63c885c407b0" xmlns:ns3="ec62de01-3c60-4501-b46d-b2adce299403" targetNamespace="http://schemas.microsoft.com/office/2006/metadata/properties" ma:root="true" ma:fieldsID="c638b0d62633d400974510ffcd44550b" ns2:_="" ns3:_="">
    <xsd:import namespace="98cc15a3-3e94-4076-998c-63c885c407b0"/>
    <xsd:import namespace="ec62de01-3c60-4501-b46d-b2adce2994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um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c15a3-3e94-4076-998c-63c885c407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um" ma:index="17" nillable="true" ma:displayName="Datum" ma:format="DateOnly" ma:internalName="Datum">
      <xsd:simpleType>
        <xsd:restriction base="dms:DateTime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a16ba4c5-514f-471a-8004-1e490f973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4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2de01-3c60-4501-b46d-b2adce29940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3542721-a274-48c8-9ad0-7357f2d22979}" ma:internalName="TaxCatchAll" ma:showField="CatchAllData" ma:web="ec62de01-3c60-4501-b46d-b2adce2994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5AF550-E25E-4F70-85B4-84E4D7FA80C2}"/>
</file>

<file path=customXml/itemProps2.xml><?xml version="1.0" encoding="utf-8"?>
<ds:datastoreItem xmlns:ds="http://schemas.openxmlformats.org/officeDocument/2006/customXml" ds:itemID="{A7DC4B6F-8E11-4558-9E17-FC4878FD495B}"/>
</file>

<file path=customXml/itemProps3.xml><?xml version="1.0" encoding="utf-8"?>
<ds:datastoreItem xmlns:ds="http://schemas.openxmlformats.org/officeDocument/2006/customXml" ds:itemID="{ED8D60BF-56EB-436F-B2CE-68DFF466B1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 Lagger</dc:creator>
  <cp:keywords/>
  <dc:description/>
  <cp:lastModifiedBy>BBZW;FMZ; Lagger Stefan (Lehrperson)</cp:lastModifiedBy>
  <cp:revision/>
  <dcterms:created xsi:type="dcterms:W3CDTF">2017-11-15T06:48:33Z</dcterms:created>
  <dcterms:modified xsi:type="dcterms:W3CDTF">2026-08-24T09:16:33Z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0x010100927A1D7F5CD4AB4F876BA9BE0EFD774C</vt:lpwstr>
  </property>
</Properties>
</file>